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Desktop\EndNoteHere\researchHere\双光融合\program\20221125-HK\"/>
    </mc:Choice>
  </mc:AlternateContent>
  <xr:revisionPtr revIDLastSave="0" documentId="13_ncr:1_{81D43262-77AD-4D9C-B226-E537376A27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1" i="1" l="1"/>
  <c r="O31" i="1"/>
  <c r="P31" i="1"/>
  <c r="Q31" i="1"/>
  <c r="M31" i="1"/>
  <c r="N30" i="1"/>
  <c r="O30" i="1"/>
  <c r="P30" i="1"/>
  <c r="Q30" i="1"/>
  <c r="M30" i="1"/>
  <c r="N29" i="1"/>
  <c r="O29" i="1"/>
  <c r="P29" i="1"/>
  <c r="Q29" i="1"/>
  <c r="M29" i="1"/>
  <c r="N28" i="1"/>
  <c r="O28" i="1"/>
  <c r="P28" i="1"/>
  <c r="Q28" i="1"/>
  <c r="M28" i="1"/>
  <c r="Q27" i="1"/>
  <c r="P27" i="1"/>
  <c r="O27" i="1"/>
  <c r="N27" i="1"/>
  <c r="M27" i="1"/>
  <c r="L31" i="1"/>
  <c r="L30" i="1"/>
  <c r="L29" i="1"/>
  <c r="L28" i="1"/>
  <c r="L27" i="1"/>
  <c r="M26" i="1"/>
  <c r="H3" i="1"/>
  <c r="I3" i="1"/>
  <c r="J3" i="1"/>
  <c r="K3" i="1"/>
  <c r="L3" i="1"/>
  <c r="H4" i="1"/>
  <c r="I4" i="1"/>
  <c r="J4" i="1"/>
  <c r="K4" i="1"/>
  <c r="L4" i="1"/>
  <c r="H5" i="1"/>
  <c r="I5" i="1"/>
  <c r="J5" i="1"/>
  <c r="K5" i="1"/>
  <c r="L5" i="1"/>
  <c r="H6" i="1"/>
  <c r="I6" i="1"/>
  <c r="J6" i="1"/>
  <c r="K6" i="1"/>
  <c r="L6" i="1"/>
  <c r="I2" i="1"/>
  <c r="J2" i="1"/>
  <c r="K2" i="1"/>
  <c r="L2" i="1"/>
  <c r="H2" i="1"/>
</calcChain>
</file>

<file path=xl/sharedStrings.xml><?xml version="1.0" encoding="utf-8"?>
<sst xmlns="http://schemas.openxmlformats.org/spreadsheetml/2006/main" count="56" uniqueCount="11">
  <si>
    <t>600℃</t>
  </si>
  <si>
    <t>std</t>
  </si>
  <si>
    <t>RSD</t>
  </si>
  <si>
    <t>700℃</t>
  </si>
  <si>
    <t>mean</t>
  </si>
  <si>
    <t>800℃</t>
  </si>
  <si>
    <t>900℃</t>
  </si>
  <si>
    <t>1000℃</t>
  </si>
  <si>
    <t>std</t>
    <phoneticPr fontId="8" type="noConversion"/>
  </si>
  <si>
    <t>temperature(K)</t>
    <phoneticPr fontId="8" type="noConversion"/>
  </si>
  <si>
    <t>mean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</si>
</sst>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92D05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92D050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456036745406815E-2"/>
          <c:y val="6.2534631087780693E-2"/>
          <c:w val="0.90787729658792649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600℃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Sheet1!$B$1:$F$1</c:f>
              <c:numCache>
                <c:formatCode>General</c:formatCode>
                <c:ptCount val="5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20000</c:v>
                </c:pt>
              </c:numCache>
            </c:numRef>
          </c:cat>
          <c:val>
            <c:numRef>
              <c:f>Sheet1!$H$2:$L$2</c:f>
              <c:numCache>
                <c:formatCode>General</c:formatCode>
                <c:ptCount val="5"/>
                <c:pt idx="0">
                  <c:v>0.16181863434835583</c:v>
                </c:pt>
                <c:pt idx="1">
                  <c:v>-5.9424155164948179E-2</c:v>
                </c:pt>
                <c:pt idx="2">
                  <c:v>-0.3058704832966454</c:v>
                </c:pt>
                <c:pt idx="3">
                  <c:v>-0.74002707046562588</c:v>
                </c:pt>
                <c:pt idx="4">
                  <c:v>-1.1891531597276574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2-4D46-841D-1A82946D5E95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700℃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Sheet1!$B$1:$F$1</c:f>
              <c:numCache>
                <c:formatCode>General</c:formatCode>
                <c:ptCount val="5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20000</c:v>
                </c:pt>
              </c:numCache>
            </c:numRef>
          </c:cat>
          <c:val>
            <c:numRef>
              <c:f>Sheet1!$H$3:$L$3</c:f>
              <c:numCache>
                <c:formatCode>General</c:formatCode>
                <c:ptCount val="5"/>
                <c:pt idx="0">
                  <c:v>-0.99046755255172836</c:v>
                </c:pt>
                <c:pt idx="1">
                  <c:v>-1.4723055112305197</c:v>
                </c:pt>
                <c:pt idx="2">
                  <c:v>-1.947073825864617</c:v>
                </c:pt>
                <c:pt idx="3">
                  <c:v>-1.9179963884735352</c:v>
                </c:pt>
                <c:pt idx="4">
                  <c:v>-2.3035855933276292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62-4D46-841D-1A82946D5E95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800℃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Sheet1!$B$1:$F$1</c:f>
              <c:numCache>
                <c:formatCode>General</c:formatCode>
                <c:ptCount val="5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20000</c:v>
                </c:pt>
              </c:numCache>
            </c:numRef>
          </c:cat>
          <c:val>
            <c:numRef>
              <c:f>Sheet1!$H$4:$L$4</c:f>
              <c:numCache>
                <c:formatCode>General</c:formatCode>
                <c:ptCount val="5"/>
                <c:pt idx="0">
                  <c:v>-2.3125344238477137</c:v>
                </c:pt>
                <c:pt idx="1">
                  <c:v>-2.5899738751263039</c:v>
                </c:pt>
                <c:pt idx="2">
                  <c:v>-2.801037580696895</c:v>
                </c:pt>
                <c:pt idx="3">
                  <c:v>-2.9023876605747501</c:v>
                </c:pt>
                <c:pt idx="4">
                  <c:v>-3.2744942486312127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62-4D46-841D-1A82946D5E95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900℃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Sheet1!$B$1:$F$1</c:f>
              <c:numCache>
                <c:formatCode>General</c:formatCode>
                <c:ptCount val="5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20000</c:v>
                </c:pt>
              </c:numCache>
            </c:numRef>
          </c:cat>
          <c:val>
            <c:numRef>
              <c:f>Sheet1!$H$5:$L$5</c:f>
              <c:numCache>
                <c:formatCode>General</c:formatCode>
                <c:ptCount val="5"/>
                <c:pt idx="0">
                  <c:v>-3.1611495167551782</c:v>
                </c:pt>
                <c:pt idx="1">
                  <c:v>-3.5483525869770274</c:v>
                </c:pt>
                <c:pt idx="2">
                  <c:v>-3.7388262869667499</c:v>
                </c:pt>
                <c:pt idx="3">
                  <c:v>-3.8422171311841833</c:v>
                </c:pt>
                <c:pt idx="4">
                  <c:v>-4.0771925034045351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62-4D46-841D-1A82946D5E95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1000℃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Sheet1!$B$1:$F$1</c:f>
              <c:numCache>
                <c:formatCode>General</c:formatCode>
                <c:ptCount val="5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20000</c:v>
                </c:pt>
              </c:numCache>
            </c:numRef>
          </c:cat>
          <c:val>
            <c:numRef>
              <c:f>Sheet1!$H$6:$L$6</c:f>
              <c:numCache>
                <c:formatCode>General</c:formatCode>
                <c:ptCount val="5"/>
                <c:pt idx="0">
                  <c:v>-3.8155317052393847</c:v>
                </c:pt>
                <c:pt idx="1">
                  <c:v>-4.2403881931554617</c:v>
                </c:pt>
                <c:pt idx="2">
                  <c:v>-4.30284583679944</c:v>
                </c:pt>
                <c:pt idx="3">
                  <c:v>-4.5215646021332949</c:v>
                </c:pt>
                <c:pt idx="4">
                  <c:v>-4.7066493549379453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62-4D46-841D-1A82946D5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988495"/>
        <c:axId val="2107993071"/>
      </c:lineChart>
      <c:catAx>
        <c:axId val="210798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7993071"/>
        <c:crosses val="autoZero"/>
        <c:auto val="1"/>
        <c:lblAlgn val="ctr"/>
        <c:lblOffset val="100"/>
        <c:noMultiLvlLbl val="0"/>
      </c:catAx>
      <c:valAx>
        <c:axId val="210799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798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184150</xdr:colOff>
      <xdr:row>8</xdr:row>
      <xdr:rowOff>63500</xdr:rowOff>
    </xdr:from>
    <xdr:to>
      <xdr:col>16</xdr:col>
      <xdr:colOff>133350</xdr:colOff>
      <xdr:row>23</xdr:row>
      <xdr:rowOff>107950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FBB841B-88E7-F925-4B98-4806F2E8F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topLeftCell="A25" zoomScaleNormal="100" workbookViewId="0">
      <selection activeCell="J34" sqref="J34:O39"/>
    </sheetView>
  </sheetViews>
  <sheetFormatPr defaultRowHeight="14" x14ac:dyDescent="0.3"/>
  <cols>
    <col min="10" max="10" width="13.33203125" bestFit="1" customWidth="1"/>
  </cols>
  <sheetData>
    <row r="1" spans="1:12" ht="14.5" thickBot="1" x14ac:dyDescent="0.35">
      <c r="A1" s="6" t="s">
        <v>2</v>
      </c>
      <c r="B1" s="2">
        <v>2500</v>
      </c>
      <c r="C1" s="3">
        <v>5000</v>
      </c>
      <c r="D1" s="2">
        <v>7500</v>
      </c>
      <c r="E1" s="4">
        <v>10000</v>
      </c>
      <c r="F1" s="5">
        <v>20000</v>
      </c>
    </row>
    <row r="2" spans="1:12" ht="14.5" thickBot="1" x14ac:dyDescent="0.35">
      <c r="A2" s="1" t="s">
        <v>0</v>
      </c>
      <c r="B2" s="7">
        <v>1.1756470000000001</v>
      </c>
      <c r="C2" s="8">
        <v>0.94230700000000001</v>
      </c>
      <c r="D2" s="7">
        <v>0.73648199999999997</v>
      </c>
      <c r="E2" s="9">
        <v>0.477101</v>
      </c>
      <c r="F2" s="10">
        <v>0.304479</v>
      </c>
      <c r="H2">
        <f>LN(B2)</f>
        <v>0.16181863434835583</v>
      </c>
      <c r="I2">
        <f t="shared" ref="I2:L2" si="0">LN(C2)</f>
        <v>-5.9424155164948179E-2</v>
      </c>
      <c r="J2">
        <f t="shared" si="0"/>
        <v>-0.3058704832966454</v>
      </c>
      <c r="K2">
        <f t="shared" si="0"/>
        <v>-0.74002707046562588</v>
      </c>
      <c r="L2">
        <f t="shared" si="0"/>
        <v>-1.1891531597276574</v>
      </c>
    </row>
    <row r="3" spans="1:12" ht="14.5" thickBot="1" x14ac:dyDescent="0.35">
      <c r="A3" s="1" t="s">
        <v>3</v>
      </c>
      <c r="B3" s="7">
        <v>0.37140299999999998</v>
      </c>
      <c r="C3" s="8">
        <v>0.22939599999999999</v>
      </c>
      <c r="D3" s="7">
        <v>0.14269100000000001</v>
      </c>
      <c r="E3" s="9">
        <v>0.146901</v>
      </c>
      <c r="F3" s="10">
        <v>9.9900000000000003E-2</v>
      </c>
      <c r="H3">
        <f t="shared" ref="H3:H6" si="1">LN(B3)</f>
        <v>-0.99046755255172836</v>
      </c>
      <c r="I3">
        <f t="shared" ref="I3:I6" si="2">LN(C3)</f>
        <v>-1.4723055112305197</v>
      </c>
      <c r="J3">
        <f t="shared" ref="J3:J6" si="3">LN(D3)</f>
        <v>-1.947073825864617</v>
      </c>
      <c r="K3">
        <f t="shared" ref="K3:K6" si="4">LN(E3)</f>
        <v>-1.9179963884735352</v>
      </c>
      <c r="L3">
        <f t="shared" ref="L3:L6" si="5">LN(F3)</f>
        <v>-2.3035855933276292</v>
      </c>
    </row>
    <row r="4" spans="1:12" ht="14.5" thickBot="1" x14ac:dyDescent="0.35">
      <c r="A4" s="6" t="s">
        <v>5</v>
      </c>
      <c r="B4" s="7">
        <v>9.9010000000000001E-2</v>
      </c>
      <c r="C4" s="8">
        <v>7.5022000000000005E-2</v>
      </c>
      <c r="D4" s="7">
        <v>6.0747000000000002E-2</v>
      </c>
      <c r="E4" s="9">
        <v>5.4892000000000003E-2</v>
      </c>
      <c r="F4" s="7">
        <v>3.7836000000000002E-2</v>
      </c>
      <c r="H4">
        <f t="shared" si="1"/>
        <v>-2.3125344238477137</v>
      </c>
      <c r="I4">
        <f t="shared" si="2"/>
        <v>-2.5899738751263039</v>
      </c>
      <c r="J4">
        <f t="shared" si="3"/>
        <v>-2.801037580696895</v>
      </c>
      <c r="K4">
        <f t="shared" si="4"/>
        <v>-2.9023876605747501</v>
      </c>
      <c r="L4">
        <f t="shared" si="5"/>
        <v>-3.2744942486312127</v>
      </c>
    </row>
    <row r="5" spans="1:12" ht="14.5" thickBot="1" x14ac:dyDescent="0.35">
      <c r="A5" s="6" t="s">
        <v>6</v>
      </c>
      <c r="B5" s="7">
        <v>4.2376999999999998E-2</v>
      </c>
      <c r="C5" s="8">
        <v>2.8771999999999999E-2</v>
      </c>
      <c r="D5" s="7">
        <v>2.3782000000000001E-2</v>
      </c>
      <c r="E5" s="9">
        <v>2.1446E-2</v>
      </c>
      <c r="F5" s="10">
        <v>1.6955000000000001E-2</v>
      </c>
      <c r="H5">
        <f t="shared" si="1"/>
        <v>-3.1611495167551782</v>
      </c>
      <c r="I5">
        <f t="shared" si="2"/>
        <v>-3.5483525869770274</v>
      </c>
      <c r="J5">
        <f t="shared" si="3"/>
        <v>-3.7388262869667499</v>
      </c>
      <c r="K5">
        <f t="shared" si="4"/>
        <v>-3.8422171311841833</v>
      </c>
      <c r="L5">
        <f t="shared" si="5"/>
        <v>-4.0771925034045351</v>
      </c>
    </row>
    <row r="6" spans="1:12" ht="14.5" thickBot="1" x14ac:dyDescent="0.35">
      <c r="A6" s="15" t="s">
        <v>7</v>
      </c>
      <c r="B6" s="7">
        <v>2.2026E-2</v>
      </c>
      <c r="C6" s="8">
        <v>1.4402E-2</v>
      </c>
      <c r="D6" s="7">
        <v>1.353E-2</v>
      </c>
      <c r="E6" s="9">
        <v>1.0872E-2</v>
      </c>
      <c r="F6" s="7">
        <v>9.0349999999999996E-3</v>
      </c>
      <c r="H6">
        <f t="shared" si="1"/>
        <v>-3.8155317052393847</v>
      </c>
      <c r="I6">
        <f t="shared" si="2"/>
        <v>-4.2403881931554617</v>
      </c>
      <c r="J6">
        <f t="shared" si="3"/>
        <v>-4.30284583679944</v>
      </c>
      <c r="K6">
        <f t="shared" si="4"/>
        <v>-4.5215646021332949</v>
      </c>
      <c r="L6">
        <f t="shared" si="5"/>
        <v>-4.7066493549379453</v>
      </c>
    </row>
    <row r="7" spans="1:12" ht="14.5" thickBot="1" x14ac:dyDescent="0.35"/>
    <row r="8" spans="1:12" ht="14.5" thickBot="1" x14ac:dyDescent="0.35">
      <c r="A8" s="6" t="s">
        <v>8</v>
      </c>
      <c r="B8" s="2">
        <v>2500</v>
      </c>
      <c r="C8" s="3">
        <v>5000</v>
      </c>
      <c r="D8" s="2">
        <v>7500</v>
      </c>
      <c r="E8" s="4">
        <v>10000</v>
      </c>
      <c r="F8" s="5">
        <v>20000</v>
      </c>
    </row>
    <row r="9" spans="1:12" ht="14.5" thickBot="1" x14ac:dyDescent="0.35">
      <c r="A9" s="1" t="s">
        <v>0</v>
      </c>
      <c r="B9" s="2">
        <v>0.69343200000000005</v>
      </c>
      <c r="C9" s="3">
        <v>0.803952</v>
      </c>
      <c r="D9" s="2">
        <v>0.85876600000000003</v>
      </c>
      <c r="E9" s="4">
        <v>1.0129220000000001</v>
      </c>
      <c r="F9" s="5">
        <v>1.3773420000000001</v>
      </c>
    </row>
    <row r="10" spans="1:12" ht="14.5" thickBot="1" x14ac:dyDescent="0.35">
      <c r="A10" s="1" t="s">
        <v>3</v>
      </c>
      <c r="B10" s="11">
        <v>1.227481</v>
      </c>
      <c r="C10" s="12">
        <v>1.5802860000000001</v>
      </c>
      <c r="D10" s="11">
        <v>1.7422839999999999</v>
      </c>
      <c r="E10" s="13">
        <v>2.4882049999999998</v>
      </c>
      <c r="F10" s="14">
        <v>3.8261219999999998</v>
      </c>
    </row>
    <row r="11" spans="1:12" ht="14.5" thickBot="1" x14ac:dyDescent="0.35">
      <c r="A11" s="6" t="s">
        <v>5</v>
      </c>
      <c r="B11" s="11">
        <v>3.0693139999999999</v>
      </c>
      <c r="C11" s="12">
        <v>4.1686639999999997</v>
      </c>
      <c r="D11" s="11">
        <v>5.1464559999999997</v>
      </c>
      <c r="E11" s="13">
        <v>6.5609419999999998</v>
      </c>
      <c r="F11" s="11">
        <v>9.5476700000000001</v>
      </c>
    </row>
    <row r="12" spans="1:12" ht="14.5" thickBot="1" x14ac:dyDescent="0.35">
      <c r="A12" s="6" t="s">
        <v>6</v>
      </c>
      <c r="B12" s="11">
        <v>7.0373469999999996</v>
      </c>
      <c r="C12" s="12">
        <v>9.8132830000000002</v>
      </c>
      <c r="D12" s="11">
        <v>11.70112</v>
      </c>
      <c r="E12" s="13">
        <v>13.6652</v>
      </c>
      <c r="F12" s="14">
        <v>21.065719999999999</v>
      </c>
    </row>
    <row r="13" spans="1:12" ht="14.5" thickBot="1" x14ac:dyDescent="0.35">
      <c r="A13" s="15" t="s">
        <v>7</v>
      </c>
      <c r="B13" s="11">
        <v>12.45614</v>
      </c>
      <c r="C13" s="12">
        <v>16.406549999999999</v>
      </c>
      <c r="D13" s="11">
        <v>23.476220000000001</v>
      </c>
      <c r="E13" s="13">
        <v>25.164269999999998</v>
      </c>
      <c r="F13" s="11">
        <v>30.527840000000001</v>
      </c>
    </row>
    <row r="25" spans="3:17" x14ac:dyDescent="0.3">
      <c r="J25">
        <v>17806.930693069298</v>
      </c>
      <c r="K25">
        <v>768252.25</v>
      </c>
    </row>
    <row r="26" spans="3:17" ht="14.5" thickBot="1" x14ac:dyDescent="0.35">
      <c r="K26">
        <v>953552.25</v>
      </c>
      <c r="M26">
        <f>14388/0.808</f>
        <v>17806.930693069306</v>
      </c>
    </row>
    <row r="27" spans="3:17" ht="14.5" thickBot="1" x14ac:dyDescent="0.35">
      <c r="C27" s="1" t="s">
        <v>0</v>
      </c>
      <c r="D27" s="2">
        <v>2500</v>
      </c>
      <c r="E27" s="3">
        <v>5000</v>
      </c>
      <c r="F27" s="2">
        <v>7500</v>
      </c>
      <c r="G27" s="4">
        <v>10000</v>
      </c>
      <c r="H27" s="5">
        <v>20000</v>
      </c>
      <c r="K27">
        <v>1158852.25</v>
      </c>
      <c r="L27">
        <f>(600+276.5)^2</f>
        <v>768252.25</v>
      </c>
      <c r="M27">
        <f>1.96*D29*768252.25/17806.9306930693/D28</f>
        <v>99.413903993777708</v>
      </c>
      <c r="N27">
        <f>1.96*E29*768252.25/17806.9306930693/E28</f>
        <v>79.682480046865052</v>
      </c>
      <c r="O27">
        <f>1.96*F29*768252.25/17806.9306930693/F28</f>
        <v>62.277759728233129</v>
      </c>
      <c r="P27">
        <f>1.96*G29*768252.25/17806.9306930693/G28</f>
        <v>40.344199449517575</v>
      </c>
      <c r="Q27">
        <f>1.96*H29*768252.25/17806.9306930693/H28</f>
        <v>25.747078626652943</v>
      </c>
    </row>
    <row r="28" spans="3:17" ht="14.5" thickBot="1" x14ac:dyDescent="0.35">
      <c r="C28" s="6" t="s">
        <v>4</v>
      </c>
      <c r="D28" s="11">
        <v>0.58983099999999999</v>
      </c>
      <c r="E28" s="12">
        <v>0.85317500000000002</v>
      </c>
      <c r="F28" s="11">
        <v>1.1660379999999999</v>
      </c>
      <c r="G28" s="13">
        <v>2.1230769999999999</v>
      </c>
      <c r="H28" s="14">
        <v>4.5236049999999999</v>
      </c>
      <c r="K28">
        <v>1629452.25</v>
      </c>
      <c r="L28">
        <f>(700+276.5)^2</f>
        <v>953552.25</v>
      </c>
      <c r="M28">
        <f>1.96*D33*953552.25/17806.9306930693/D32</f>
        <v>38.981341783148139</v>
      </c>
      <c r="N28">
        <f t="shared" ref="N28:Q28" si="6">1.96*E33*953552.25/17806.9306930693/E32</f>
        <v>24.076757789391966</v>
      </c>
      <c r="O28">
        <f t="shared" si="6"/>
        <v>14.976371410021272</v>
      </c>
      <c r="P28">
        <f t="shared" si="6"/>
        <v>15.418247588357893</v>
      </c>
      <c r="Q28">
        <f t="shared" si="6"/>
        <v>10.485176215305078</v>
      </c>
    </row>
    <row r="29" spans="3:17" ht="14.5" thickBot="1" x14ac:dyDescent="0.35">
      <c r="C29" s="6" t="s">
        <v>1</v>
      </c>
      <c r="D29" s="11">
        <v>0.69343200000000005</v>
      </c>
      <c r="E29" s="12">
        <v>0.803952</v>
      </c>
      <c r="F29" s="11">
        <v>0.85876600000000003</v>
      </c>
      <c r="G29" s="13">
        <v>1.0129220000000001</v>
      </c>
      <c r="H29" s="14">
        <v>1.3773420000000001</v>
      </c>
      <c r="L29">
        <f>(800+276.5)^2</f>
        <v>1158852.25</v>
      </c>
      <c r="M29">
        <f>1.96*D37*1158852.25/17806.9306930693/D36</f>
        <v>12.546522185210403</v>
      </c>
      <c r="N29">
        <f t="shared" ref="N29:Q29" si="7">1.96*E37*1158852.25/17806.9306930693/E36</f>
        <v>9.5693775214821279</v>
      </c>
      <c r="O29">
        <f t="shared" si="7"/>
        <v>7.7485550056065167</v>
      </c>
      <c r="P29">
        <f t="shared" si="7"/>
        <v>7.0017369017942563</v>
      </c>
      <c r="Q29">
        <f t="shared" si="7"/>
        <v>4.8261390709426566</v>
      </c>
    </row>
    <row r="30" spans="3:17" ht="14.5" thickBot="1" x14ac:dyDescent="0.35">
      <c r="C30" s="6" t="s">
        <v>2</v>
      </c>
      <c r="D30" s="7">
        <v>1.1756470000000001</v>
      </c>
      <c r="E30" s="8">
        <v>0.94230700000000001</v>
      </c>
      <c r="F30" s="7">
        <v>0.73648199999999997</v>
      </c>
      <c r="G30" s="9">
        <v>0.477101</v>
      </c>
      <c r="H30" s="10">
        <v>0.304479</v>
      </c>
      <c r="L30">
        <f>(900+276.5)^2</f>
        <v>1384152.25</v>
      </c>
      <c r="M30">
        <f>1.96*D41*1384152.25/17806.9306930693/D40</f>
        <v>6.4562900021685801</v>
      </c>
      <c r="N30">
        <f t="shared" ref="N30:Q30" si="8">1.96*E41*1384152.25/17806.9306930693/E40</f>
        <v>4.3835426211555344</v>
      </c>
      <c r="O30">
        <f t="shared" si="8"/>
        <v>3.6233300868779237</v>
      </c>
      <c r="P30">
        <f t="shared" si="8"/>
        <v>3.2672884602312688</v>
      </c>
      <c r="Q30">
        <f t="shared" si="8"/>
        <v>2.5831418344628982</v>
      </c>
    </row>
    <row r="31" spans="3:17" ht="14.5" thickBot="1" x14ac:dyDescent="0.35">
      <c r="C31" s="6" t="s">
        <v>3</v>
      </c>
      <c r="D31" s="11">
        <v>2500</v>
      </c>
      <c r="E31" s="12">
        <v>5000</v>
      </c>
      <c r="F31" s="11">
        <v>7500</v>
      </c>
      <c r="G31" s="13">
        <v>10000</v>
      </c>
      <c r="H31" s="14">
        <v>20000</v>
      </c>
      <c r="L31">
        <f>(1000+276.5)^2</f>
        <v>1629452.25</v>
      </c>
      <c r="M31">
        <f>1.96*D45*1629452.25/17806.9306930693/D44</f>
        <v>3.9503910011083967</v>
      </c>
      <c r="N31">
        <f t="shared" ref="N31:Q31" si="9">1.96*E45*1629452.25/17806.9306930693/E44</f>
        <v>2.5830861647573173</v>
      </c>
      <c r="O31">
        <f t="shared" si="9"/>
        <v>2.4265893283433413</v>
      </c>
      <c r="P31">
        <f t="shared" si="9"/>
        <v>1.9499935079568798</v>
      </c>
      <c r="Q31">
        <f t="shared" si="9"/>
        <v>1.6203921296388868</v>
      </c>
    </row>
    <row r="32" spans="3:17" ht="14.5" thickBot="1" x14ac:dyDescent="0.35">
      <c r="C32" s="6" t="s">
        <v>4</v>
      </c>
      <c r="D32" s="11">
        <v>3.3049849999999998</v>
      </c>
      <c r="E32" s="12">
        <v>6.8888889999999998</v>
      </c>
      <c r="F32" s="11">
        <v>12.210229999999999</v>
      </c>
      <c r="G32" s="13">
        <v>16.938020000000002</v>
      </c>
      <c r="H32" s="14">
        <v>38.299630000000001</v>
      </c>
    </row>
    <row r="33" spans="3:15" ht="14.5" thickBot="1" x14ac:dyDescent="0.35">
      <c r="C33" s="6" t="s">
        <v>1</v>
      </c>
      <c r="D33" s="11">
        <v>1.227481</v>
      </c>
      <c r="E33" s="12">
        <v>1.5802860000000001</v>
      </c>
      <c r="F33" s="11">
        <v>1.7422839999999999</v>
      </c>
      <c r="G33" s="13">
        <v>2.4882049999999998</v>
      </c>
      <c r="H33" s="14">
        <v>3.8261219999999998</v>
      </c>
    </row>
    <row r="34" spans="3:15" ht="14.5" thickBot="1" x14ac:dyDescent="0.35">
      <c r="C34" s="6" t="s">
        <v>2</v>
      </c>
      <c r="D34" s="7">
        <v>0.37140299999999998</v>
      </c>
      <c r="E34" s="8">
        <v>0.22939599999999999</v>
      </c>
      <c r="F34" s="7">
        <v>0.14269100000000001</v>
      </c>
      <c r="G34" s="9">
        <v>0.146901</v>
      </c>
      <c r="H34" s="10">
        <v>9.9900000000000003E-2</v>
      </c>
      <c r="J34" t="s">
        <v>9</v>
      </c>
      <c r="K34" s="2">
        <v>2500</v>
      </c>
      <c r="L34" s="3">
        <v>5000</v>
      </c>
      <c r="M34" s="2">
        <v>7500</v>
      </c>
      <c r="N34" s="4">
        <v>10000</v>
      </c>
      <c r="O34" s="5">
        <v>20000</v>
      </c>
    </row>
    <row r="35" spans="3:15" ht="14.5" thickBot="1" x14ac:dyDescent="0.35">
      <c r="C35" s="6" t="s">
        <v>5</v>
      </c>
      <c r="D35" s="11">
        <v>2500</v>
      </c>
      <c r="E35" s="12">
        <v>5000</v>
      </c>
      <c r="F35" s="11">
        <v>7500</v>
      </c>
      <c r="G35" s="13">
        <v>10000</v>
      </c>
      <c r="H35" s="11">
        <v>20000</v>
      </c>
      <c r="J35" s="1" t="s">
        <v>0</v>
      </c>
      <c r="K35">
        <v>99.413903993777708</v>
      </c>
      <c r="L35">
        <v>79.682480046865052</v>
      </c>
      <c r="M35">
        <v>62.277759728233129</v>
      </c>
      <c r="N35">
        <v>40.344199449517575</v>
      </c>
      <c r="O35">
        <v>25.747078626652943</v>
      </c>
    </row>
    <row r="36" spans="3:15" ht="14.5" thickBot="1" x14ac:dyDescent="0.35">
      <c r="C36" s="6" t="s">
        <v>4</v>
      </c>
      <c r="D36" s="11">
        <v>28.932929999999999</v>
      </c>
      <c r="E36" s="12">
        <v>55.565890000000003</v>
      </c>
      <c r="F36" s="11">
        <v>84.719350000000006</v>
      </c>
      <c r="G36" s="13">
        <v>119.5241</v>
      </c>
      <c r="H36" s="11">
        <v>252.34379999999999</v>
      </c>
      <c r="J36" s="6" t="s">
        <v>3</v>
      </c>
      <c r="K36">
        <v>38.981341783148139</v>
      </c>
      <c r="L36">
        <v>24.076757789391966</v>
      </c>
      <c r="M36">
        <v>14.976371410021272</v>
      </c>
      <c r="N36">
        <v>15.418247588357893</v>
      </c>
      <c r="O36">
        <v>10.485176215305078</v>
      </c>
    </row>
    <row r="37" spans="3:15" ht="14.5" thickBot="1" x14ac:dyDescent="0.35">
      <c r="C37" s="6" t="s">
        <v>1</v>
      </c>
      <c r="D37" s="11">
        <v>2.845907</v>
      </c>
      <c r="E37" s="12">
        <v>4.1686639999999997</v>
      </c>
      <c r="F37" s="11">
        <v>5.1464559999999997</v>
      </c>
      <c r="G37" s="13">
        <v>6.5609419999999998</v>
      </c>
      <c r="H37" s="11">
        <v>9.5476700000000001</v>
      </c>
      <c r="J37" s="1" t="s">
        <v>5</v>
      </c>
      <c r="K37">
        <v>12.546522185210403</v>
      </c>
      <c r="L37">
        <v>9.5693775214821279</v>
      </c>
      <c r="M37">
        <v>7.7485550056065167</v>
      </c>
      <c r="N37">
        <v>7.0017369017942563</v>
      </c>
      <c r="O37">
        <v>4.8261390709426566</v>
      </c>
    </row>
    <row r="38" spans="3:15" ht="14.5" thickBot="1" x14ac:dyDescent="0.35">
      <c r="C38" s="6" t="s">
        <v>2</v>
      </c>
      <c r="D38" s="7">
        <v>9.8362000000000005E-2</v>
      </c>
      <c r="E38" s="8">
        <v>7.5022000000000005E-2</v>
      </c>
      <c r="F38" s="7">
        <v>6.0747000000000002E-2</v>
      </c>
      <c r="G38" s="9">
        <v>5.4892000000000003E-2</v>
      </c>
      <c r="H38" s="7">
        <v>3.7836000000000002E-2</v>
      </c>
      <c r="J38" s="6" t="s">
        <v>6</v>
      </c>
      <c r="K38">
        <v>6.4562900021685801</v>
      </c>
      <c r="L38">
        <v>4.3835426211555344</v>
      </c>
      <c r="M38">
        <v>3.6233300868779237</v>
      </c>
      <c r="N38">
        <v>3.2672884602312688</v>
      </c>
      <c r="O38">
        <v>2.5831418344628982</v>
      </c>
    </row>
    <row r="39" spans="3:15" ht="14.5" thickBot="1" x14ac:dyDescent="0.35">
      <c r="C39" s="6" t="s">
        <v>6</v>
      </c>
      <c r="D39" s="11">
        <v>2500</v>
      </c>
      <c r="E39" s="12">
        <v>5000</v>
      </c>
      <c r="F39" s="11">
        <v>7500</v>
      </c>
      <c r="G39" s="13">
        <v>10000</v>
      </c>
      <c r="H39" s="14">
        <v>20000</v>
      </c>
      <c r="J39" s="1" t="s">
        <v>7</v>
      </c>
      <c r="K39">
        <v>3.9503910011083967</v>
      </c>
      <c r="L39">
        <v>2.5830861647573173</v>
      </c>
      <c r="M39">
        <v>2.4265893283433413</v>
      </c>
      <c r="N39">
        <v>1.9499935079568798</v>
      </c>
      <c r="O39">
        <v>1.6203921296388868</v>
      </c>
    </row>
    <row r="40" spans="3:15" ht="14.5" thickBot="1" x14ac:dyDescent="0.35">
      <c r="C40" s="6" t="s">
        <v>4</v>
      </c>
      <c r="D40" s="11">
        <v>166.06450000000001</v>
      </c>
      <c r="E40" s="12">
        <v>341.06720000000001</v>
      </c>
      <c r="F40" s="11">
        <v>492.00599999999997</v>
      </c>
      <c r="G40" s="13">
        <v>637.20529999999997</v>
      </c>
      <c r="H40" s="14">
        <v>1242.45</v>
      </c>
    </row>
    <row r="41" spans="3:15" ht="14.5" thickBot="1" x14ac:dyDescent="0.35">
      <c r="C41" s="6" t="s">
        <v>1</v>
      </c>
      <c r="D41" s="11">
        <v>7.0373469999999996</v>
      </c>
      <c r="E41" s="12">
        <v>9.8132830000000002</v>
      </c>
      <c r="F41" s="11">
        <v>11.70112</v>
      </c>
      <c r="G41" s="13">
        <v>13.6652</v>
      </c>
      <c r="H41" s="14">
        <v>21.065719999999999</v>
      </c>
    </row>
    <row r="42" spans="3:15" ht="14.5" thickBot="1" x14ac:dyDescent="0.35">
      <c r="C42" s="6" t="s">
        <v>2</v>
      </c>
      <c r="D42" s="7">
        <v>4.2376999999999998E-2</v>
      </c>
      <c r="E42" s="8">
        <v>2.8771999999999999E-2</v>
      </c>
      <c r="F42" s="7">
        <v>2.3782000000000001E-2</v>
      </c>
      <c r="G42" s="9">
        <v>2.1446E-2</v>
      </c>
      <c r="H42" s="10">
        <v>1.6955000000000001E-2</v>
      </c>
    </row>
    <row r="43" spans="3:15" ht="14.5" thickBot="1" x14ac:dyDescent="0.35">
      <c r="C43" s="15" t="s">
        <v>7</v>
      </c>
      <c r="D43" s="11">
        <v>2500</v>
      </c>
      <c r="E43" s="12">
        <v>5000</v>
      </c>
      <c r="F43" s="11">
        <v>7500</v>
      </c>
      <c r="G43" s="13">
        <v>10000</v>
      </c>
      <c r="H43" s="11">
        <v>15000</v>
      </c>
    </row>
    <row r="44" spans="3:15" ht="14.5" thickBot="1" x14ac:dyDescent="0.35">
      <c r="C44" s="15" t="s">
        <v>4</v>
      </c>
      <c r="D44" s="11">
        <v>565.52530000000002</v>
      </c>
      <c r="E44" s="12">
        <v>1139.1659999999999</v>
      </c>
      <c r="F44" s="11">
        <v>1735.164</v>
      </c>
      <c r="G44" s="13">
        <v>2314.5140000000001</v>
      </c>
      <c r="H44" s="11">
        <v>3378.9720000000002</v>
      </c>
    </row>
    <row r="45" spans="3:15" ht="14.5" thickBot="1" x14ac:dyDescent="0.35">
      <c r="C45" s="15" t="s">
        <v>1</v>
      </c>
      <c r="D45" s="11">
        <v>12.45614</v>
      </c>
      <c r="E45" s="12">
        <v>16.406549999999999</v>
      </c>
      <c r="F45" s="11">
        <v>23.476220000000001</v>
      </c>
      <c r="G45" s="13">
        <v>25.164269999999998</v>
      </c>
      <c r="H45" s="11">
        <v>30.527840000000001</v>
      </c>
    </row>
    <row r="46" spans="3:15" ht="14.5" thickBot="1" x14ac:dyDescent="0.35">
      <c r="C46" s="15" t="s">
        <v>2</v>
      </c>
      <c r="D46" s="7">
        <v>2.2026E-2</v>
      </c>
      <c r="E46" s="8">
        <v>1.4402E-2</v>
      </c>
      <c r="F46" s="7">
        <v>1.353E-2</v>
      </c>
      <c r="G46" s="9">
        <v>1.0872E-2</v>
      </c>
      <c r="H46" s="7">
        <v>9.0349999999999996E-3</v>
      </c>
    </row>
    <row r="50" spans="5:10" ht="14.5" thickBot="1" x14ac:dyDescent="0.35"/>
    <row r="51" spans="5:10" ht="14.5" thickBot="1" x14ac:dyDescent="0.35">
      <c r="E51" s="1" t="s">
        <v>10</v>
      </c>
      <c r="F51" s="2">
        <v>2500</v>
      </c>
      <c r="G51" s="3">
        <v>5000</v>
      </c>
      <c r="H51" s="2">
        <v>7500</v>
      </c>
      <c r="I51" s="4">
        <v>10000</v>
      </c>
      <c r="J51" s="5">
        <v>20000</v>
      </c>
    </row>
    <row r="52" spans="5:10" ht="14.5" thickBot="1" x14ac:dyDescent="0.35">
      <c r="E52" s="1" t="s">
        <v>0</v>
      </c>
      <c r="F52" s="11">
        <v>0.58983099999999999</v>
      </c>
      <c r="G52" s="12">
        <v>0.85317500000000002</v>
      </c>
      <c r="H52" s="11">
        <v>1.1660379999999999</v>
      </c>
      <c r="I52" s="13">
        <v>2.1230769999999999</v>
      </c>
      <c r="J52" s="14">
        <v>4.5236049999999999</v>
      </c>
    </row>
    <row r="53" spans="5:10" ht="14.5" thickBot="1" x14ac:dyDescent="0.35">
      <c r="E53" s="6" t="s">
        <v>3</v>
      </c>
      <c r="F53" s="11">
        <v>3.3049849999999998</v>
      </c>
      <c r="G53" s="12">
        <v>6.8888889999999998</v>
      </c>
      <c r="H53" s="11">
        <v>12.210229999999999</v>
      </c>
      <c r="I53" s="13">
        <v>16.938020000000002</v>
      </c>
      <c r="J53" s="14">
        <v>38.299630000000001</v>
      </c>
    </row>
    <row r="54" spans="5:10" ht="14.5" thickBot="1" x14ac:dyDescent="0.35">
      <c r="E54" s="6" t="s">
        <v>5</v>
      </c>
      <c r="F54" s="11">
        <v>28.932929999999999</v>
      </c>
      <c r="G54" s="12">
        <v>55.565890000000003</v>
      </c>
      <c r="H54" s="11">
        <v>84.719350000000006</v>
      </c>
      <c r="I54" s="13">
        <v>119.5241</v>
      </c>
      <c r="J54" s="11">
        <v>252.34379999999999</v>
      </c>
    </row>
    <row r="55" spans="5:10" ht="14.5" thickBot="1" x14ac:dyDescent="0.35">
      <c r="E55" s="6" t="s">
        <v>6</v>
      </c>
      <c r="F55" s="11">
        <v>166.06450000000001</v>
      </c>
      <c r="G55" s="12">
        <v>341.06720000000001</v>
      </c>
      <c r="H55" s="11">
        <v>492.00599999999997</v>
      </c>
      <c r="I55" s="13">
        <v>637.20529999999997</v>
      </c>
      <c r="J55" s="14">
        <v>1242.45</v>
      </c>
    </row>
    <row r="56" spans="5:10" ht="14.5" thickBot="1" x14ac:dyDescent="0.35">
      <c r="E56" s="15" t="s">
        <v>7</v>
      </c>
      <c r="F56" s="11">
        <v>565.52530000000002</v>
      </c>
      <c r="G56" s="12">
        <v>1139.1659999999999</v>
      </c>
      <c r="H56" s="11">
        <v>1735.164</v>
      </c>
      <c r="I56" s="13">
        <v>2314.5140000000001</v>
      </c>
      <c r="J56" s="11">
        <v>3378.9720000000002</v>
      </c>
    </row>
    <row r="57" spans="5:10" ht="14.5" thickBot="1" x14ac:dyDescent="0.35"/>
    <row r="58" spans="5:10" ht="14.5" thickBot="1" x14ac:dyDescent="0.35">
      <c r="E58" s="6" t="s">
        <v>8</v>
      </c>
      <c r="F58" s="2">
        <v>2500</v>
      </c>
      <c r="G58" s="3">
        <v>5000</v>
      </c>
      <c r="H58" s="2">
        <v>7500</v>
      </c>
      <c r="I58" s="4">
        <v>10000</v>
      </c>
      <c r="J58" s="5">
        <v>20000</v>
      </c>
    </row>
    <row r="59" spans="5:10" ht="14.5" thickBot="1" x14ac:dyDescent="0.35">
      <c r="E59" s="1" t="s">
        <v>0</v>
      </c>
      <c r="F59" s="2">
        <v>0.69343200000000005</v>
      </c>
      <c r="G59" s="3">
        <v>0.803952</v>
      </c>
      <c r="H59" s="2">
        <v>0.85876600000000003</v>
      </c>
      <c r="I59" s="4">
        <v>1.0129220000000001</v>
      </c>
      <c r="J59" s="5">
        <v>1.3773420000000001</v>
      </c>
    </row>
    <row r="60" spans="5:10" ht="14.5" thickBot="1" x14ac:dyDescent="0.35">
      <c r="E60" s="1" t="s">
        <v>3</v>
      </c>
      <c r="F60" s="11">
        <v>1.227481</v>
      </c>
      <c r="G60" s="12">
        <v>1.5802860000000001</v>
      </c>
      <c r="H60" s="11">
        <v>1.7422839999999999</v>
      </c>
      <c r="I60" s="13">
        <v>2.4882049999999998</v>
      </c>
      <c r="J60" s="14">
        <v>3.8261219999999998</v>
      </c>
    </row>
    <row r="61" spans="5:10" ht="14.5" thickBot="1" x14ac:dyDescent="0.35">
      <c r="E61" s="6" t="s">
        <v>5</v>
      </c>
      <c r="F61" s="11">
        <v>3.0693139999999999</v>
      </c>
      <c r="G61" s="12">
        <v>4.1686639999999997</v>
      </c>
      <c r="H61" s="11">
        <v>5.1464559999999997</v>
      </c>
      <c r="I61" s="13">
        <v>6.5609419999999998</v>
      </c>
      <c r="J61" s="11">
        <v>9.5476700000000001</v>
      </c>
    </row>
    <row r="62" spans="5:10" ht="14.5" thickBot="1" x14ac:dyDescent="0.35">
      <c r="E62" s="6" t="s">
        <v>6</v>
      </c>
      <c r="F62" s="11">
        <v>7.0373469999999996</v>
      </c>
      <c r="G62" s="12">
        <v>9.8132830000000002</v>
      </c>
      <c r="H62" s="11">
        <v>11.70112</v>
      </c>
      <c r="I62" s="13">
        <v>13.6652</v>
      </c>
      <c r="J62" s="14">
        <v>21.065719999999999</v>
      </c>
    </row>
    <row r="63" spans="5:10" ht="14.5" thickBot="1" x14ac:dyDescent="0.35">
      <c r="E63" s="15" t="s">
        <v>7</v>
      </c>
      <c r="F63" s="11">
        <v>12.45614</v>
      </c>
      <c r="G63" s="12">
        <v>16.406549999999999</v>
      </c>
      <c r="H63" s="11">
        <v>23.476220000000001</v>
      </c>
      <c r="I63" s="13">
        <v>25.164269999999998</v>
      </c>
      <c r="J63" s="11">
        <v>30.527840000000001</v>
      </c>
    </row>
    <row r="64" spans="5:10" ht="14.5" thickBot="1" x14ac:dyDescent="0.35"/>
    <row r="65" spans="5:10" ht="14.5" thickBot="1" x14ac:dyDescent="0.35">
      <c r="E65" s="6" t="s">
        <v>2</v>
      </c>
      <c r="F65" s="2">
        <v>2500</v>
      </c>
      <c r="G65" s="3">
        <v>5000</v>
      </c>
      <c r="H65" s="2">
        <v>7500</v>
      </c>
      <c r="I65" s="4">
        <v>10000</v>
      </c>
      <c r="J65" s="5">
        <v>20000</v>
      </c>
    </row>
    <row r="66" spans="5:10" ht="14.5" thickBot="1" x14ac:dyDescent="0.35">
      <c r="E66" s="1" t="s">
        <v>0</v>
      </c>
      <c r="F66" s="7">
        <v>1.1756470000000001</v>
      </c>
      <c r="G66" s="8">
        <v>0.94230700000000001</v>
      </c>
      <c r="H66" s="7">
        <v>0.73648199999999997</v>
      </c>
      <c r="I66" s="9">
        <v>0.477101</v>
      </c>
      <c r="J66" s="10">
        <v>0.304479</v>
      </c>
    </row>
    <row r="67" spans="5:10" ht="14.5" thickBot="1" x14ac:dyDescent="0.35">
      <c r="E67" s="1" t="s">
        <v>3</v>
      </c>
      <c r="F67" s="7">
        <v>0.37140299999999998</v>
      </c>
      <c r="G67" s="8">
        <v>0.22939599999999999</v>
      </c>
      <c r="H67" s="7">
        <v>0.14269100000000001</v>
      </c>
      <c r="I67" s="9">
        <v>0.146901</v>
      </c>
      <c r="J67" s="10">
        <v>9.9900000000000003E-2</v>
      </c>
    </row>
    <row r="68" spans="5:10" ht="14.5" thickBot="1" x14ac:dyDescent="0.35">
      <c r="E68" s="6" t="s">
        <v>5</v>
      </c>
      <c r="F68" s="7">
        <v>9.9010000000000001E-2</v>
      </c>
      <c r="G68" s="8">
        <v>7.5022000000000005E-2</v>
      </c>
      <c r="H68" s="7">
        <v>6.0747000000000002E-2</v>
      </c>
      <c r="I68" s="9">
        <v>5.4892000000000003E-2</v>
      </c>
      <c r="J68" s="7">
        <v>3.7836000000000002E-2</v>
      </c>
    </row>
    <row r="69" spans="5:10" ht="14.5" thickBot="1" x14ac:dyDescent="0.35">
      <c r="E69" s="6" t="s">
        <v>6</v>
      </c>
      <c r="F69" s="7">
        <v>4.2376999999999998E-2</v>
      </c>
      <c r="G69" s="8">
        <v>2.8771999999999999E-2</v>
      </c>
      <c r="H69" s="7">
        <v>2.3782000000000001E-2</v>
      </c>
      <c r="I69" s="9">
        <v>2.1446E-2</v>
      </c>
      <c r="J69" s="10">
        <v>1.6955000000000001E-2</v>
      </c>
    </row>
    <row r="70" spans="5:10" ht="14.5" thickBot="1" x14ac:dyDescent="0.35">
      <c r="E70" s="15" t="s">
        <v>7</v>
      </c>
      <c r="F70" s="7">
        <v>2.2026E-2</v>
      </c>
      <c r="G70" s="8">
        <v>1.4402E-2</v>
      </c>
      <c r="H70" s="7">
        <v>1.353E-2</v>
      </c>
      <c r="I70" s="9">
        <v>1.0872E-2</v>
      </c>
      <c r="J70" s="7">
        <v>9.0349999999999996E-3</v>
      </c>
    </row>
  </sheetData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2022-12-20T10:17:36Z</dcterms:modified>
</cp:coreProperties>
</file>