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esktop\EndNoteHere\researchHere\双光融合\program\20221125-HK\2022-12-07-南智坩埚测量\"/>
    </mc:Choice>
  </mc:AlternateContent>
  <xr:revisionPtr revIDLastSave="0" documentId="13_ncr:1_{2073DBCA-739F-4B42-A086-543FA7A9C1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H30" i="1"/>
  <c r="H31" i="1"/>
  <c r="H32" i="1"/>
  <c r="H33" i="1"/>
  <c r="H34" i="1"/>
  <c r="H35" i="1"/>
  <c r="H36" i="1"/>
  <c r="H37" i="1"/>
  <c r="H38" i="1"/>
  <c r="I38" i="1" s="1"/>
  <c r="H39" i="1"/>
  <c r="I39" i="1" s="1"/>
  <c r="H40" i="1"/>
  <c r="H41" i="1"/>
  <c r="H42" i="1"/>
  <c r="H43" i="1"/>
  <c r="I43" i="1" s="1"/>
  <c r="H44" i="1"/>
  <c r="H45" i="1"/>
  <c r="H46" i="1"/>
  <c r="H47" i="1"/>
  <c r="I47" i="1" s="1"/>
  <c r="H48" i="1"/>
  <c r="H49" i="1"/>
  <c r="H50" i="1"/>
  <c r="I50" i="1" s="1"/>
  <c r="H51" i="1"/>
  <c r="I51" i="1" s="1"/>
  <c r="H52" i="1"/>
  <c r="H53" i="1"/>
  <c r="H29" i="1"/>
  <c r="I29" i="1" s="1"/>
  <c r="I42" i="1"/>
  <c r="I44" i="1"/>
  <c r="I45" i="1"/>
  <c r="I52" i="1"/>
  <c r="I53" i="1"/>
  <c r="G38" i="1"/>
  <c r="G39" i="1"/>
  <c r="G40" i="1"/>
  <c r="I40" i="1"/>
  <c r="G41" i="1"/>
  <c r="I41" i="1" s="1"/>
  <c r="G42" i="1"/>
  <c r="G43" i="1"/>
  <c r="G44" i="1"/>
  <c r="G45" i="1"/>
  <c r="G46" i="1"/>
  <c r="I46" i="1"/>
  <c r="G47" i="1"/>
  <c r="G48" i="1"/>
  <c r="I48" i="1"/>
  <c r="G49" i="1"/>
  <c r="G50" i="1"/>
  <c r="G51" i="1"/>
  <c r="G52" i="1"/>
  <c r="G53" i="1"/>
  <c r="G29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30" i="1"/>
  <c r="E31" i="1"/>
  <c r="E32" i="1"/>
  <c r="I32" i="1" s="1"/>
  <c r="E33" i="1"/>
  <c r="E34" i="1"/>
  <c r="E35" i="1"/>
  <c r="E36" i="1"/>
  <c r="E37" i="1"/>
  <c r="E29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D29" i="1"/>
  <c r="I49" i="1" l="1"/>
  <c r="I34" i="1"/>
  <c r="I36" i="1"/>
  <c r="I30" i="1"/>
  <c r="I31" i="1"/>
  <c r="I33" i="1"/>
  <c r="I35" i="1"/>
  <c r="I37" i="1"/>
</calcChain>
</file>

<file path=xl/sharedStrings.xml><?xml version="1.0" encoding="utf-8"?>
<sst xmlns="http://schemas.openxmlformats.org/spreadsheetml/2006/main" count="13" uniqueCount="10">
  <si>
    <t>T</t>
    <phoneticPr fontId="1" type="noConversion"/>
  </si>
  <si>
    <t>G</t>
    <phoneticPr fontId="1" type="noConversion"/>
  </si>
  <si>
    <t>G1（700，底噪12）</t>
    <phoneticPr fontId="1" type="noConversion"/>
  </si>
  <si>
    <t>G2（808，底噪21）</t>
    <phoneticPr fontId="1" type="noConversion"/>
  </si>
  <si>
    <t>G2修</t>
    <phoneticPr fontId="1" type="noConversion"/>
  </si>
  <si>
    <t>G1/G2</t>
    <phoneticPr fontId="1" type="noConversion"/>
  </si>
  <si>
    <t>E</t>
    <phoneticPr fontId="1" type="noConversion"/>
  </si>
  <si>
    <t>lamda1/lamda2</t>
    <phoneticPr fontId="1" type="noConversion"/>
  </si>
  <si>
    <t>S1/S2</t>
    <phoneticPr fontId="1" type="noConversion"/>
  </si>
  <si>
    <t>数据1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</si>
</sst>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2" fillId="2" borderId="0" xfId="1" applyAlignment="1"/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Sheet1!$B$2:$B$26</c:f>
              <c:numCache>
                <c:formatCode>General</c:formatCode>
                <c:ptCount val="25"/>
                <c:pt idx="0">
                  <c:v>271</c:v>
                </c:pt>
                <c:pt idx="1">
                  <c:v>317</c:v>
                </c:pt>
                <c:pt idx="2">
                  <c:v>364</c:v>
                </c:pt>
                <c:pt idx="3">
                  <c:v>417</c:v>
                </c:pt>
                <c:pt idx="4">
                  <c:v>471</c:v>
                </c:pt>
                <c:pt idx="5">
                  <c:v>537</c:v>
                </c:pt>
                <c:pt idx="6">
                  <c:v>614</c:v>
                </c:pt>
                <c:pt idx="7">
                  <c:v>705</c:v>
                </c:pt>
                <c:pt idx="8">
                  <c:v>774</c:v>
                </c:pt>
                <c:pt idx="9">
                  <c:v>894</c:v>
                </c:pt>
                <c:pt idx="10">
                  <c:v>988</c:v>
                </c:pt>
                <c:pt idx="11">
                  <c:v>1132</c:v>
                </c:pt>
                <c:pt idx="12">
                  <c:v>1232</c:v>
                </c:pt>
                <c:pt idx="13">
                  <c:v>1370</c:v>
                </c:pt>
                <c:pt idx="14">
                  <c:v>1537</c:v>
                </c:pt>
                <c:pt idx="15">
                  <c:v>1722</c:v>
                </c:pt>
                <c:pt idx="16">
                  <c:v>1890</c:v>
                </c:pt>
                <c:pt idx="17">
                  <c:v>2070</c:v>
                </c:pt>
                <c:pt idx="18">
                  <c:v>2325</c:v>
                </c:pt>
                <c:pt idx="19">
                  <c:v>2481</c:v>
                </c:pt>
                <c:pt idx="20">
                  <c:v>2797</c:v>
                </c:pt>
                <c:pt idx="21">
                  <c:v>3110</c:v>
                </c:pt>
                <c:pt idx="22">
                  <c:v>3397</c:v>
                </c:pt>
                <c:pt idx="23">
                  <c:v>3712</c:v>
                </c:pt>
                <c:pt idx="24">
                  <c:v>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D0-4ECD-8033-3B56A10E7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877551"/>
        <c:axId val="1064897935"/>
      </c:lineChart>
      <c:catAx>
        <c:axId val="1064877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897935"/>
        <c:crosses val="autoZero"/>
        <c:auto val="1"/>
        <c:lblAlgn val="ctr"/>
        <c:lblOffset val="100"/>
        <c:noMultiLvlLbl val="0"/>
      </c:catAx>
      <c:valAx>
        <c:axId val="10648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87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</xdr:colOff>
      <xdr:row>3</xdr:row>
      <xdr:rowOff>95250</xdr:rowOff>
    </xdr:from>
    <xdr:to>
      <xdr:col>18</xdr:col>
      <xdr:colOff>0</xdr:colOff>
      <xdr:row>18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3D1502-47C8-06C9-994D-A76D4D04B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3" workbookViewId="0">
      <selection activeCell="F26" sqref="E2:F26"/>
    </sheetView>
  </sheetViews>
  <sheetFormatPr defaultRowHeight="14" x14ac:dyDescent="0.3"/>
  <cols>
    <col min="8" max="8" width="16.9140625" customWidth="1"/>
  </cols>
  <sheetData>
    <row r="1" spans="1:6" x14ac:dyDescent="0.3">
      <c r="A1" t="s">
        <v>0</v>
      </c>
      <c r="B1" t="s">
        <v>1</v>
      </c>
      <c r="D1" t="s">
        <v>0</v>
      </c>
      <c r="E1" t="s">
        <v>1</v>
      </c>
    </row>
    <row r="2" spans="1:6" x14ac:dyDescent="0.3">
      <c r="A2">
        <v>900</v>
      </c>
      <c r="B2">
        <v>271</v>
      </c>
      <c r="C2">
        <f>-1/(A2+273)</f>
        <v>-8.5251491901108269E-4</v>
      </c>
      <c r="D2">
        <v>900</v>
      </c>
      <c r="E2">
        <v>73</v>
      </c>
      <c r="F2">
        <f>-1/(D2+273)</f>
        <v>-8.5251491901108269E-4</v>
      </c>
    </row>
    <row r="3" spans="1:6" x14ac:dyDescent="0.3">
      <c r="A3">
        <v>910</v>
      </c>
      <c r="B3">
        <v>317</v>
      </c>
      <c r="C3">
        <f t="shared" ref="C3:C37" si="0">-1/(A3+273)</f>
        <v>-8.4530853761622987E-4</v>
      </c>
      <c r="D3">
        <v>910</v>
      </c>
      <c r="E3">
        <v>87</v>
      </c>
      <c r="F3">
        <f t="shared" ref="F3:F26" si="1">-1/(D3+273)</f>
        <v>-8.4530853761622987E-4</v>
      </c>
    </row>
    <row r="4" spans="1:6" x14ac:dyDescent="0.3">
      <c r="A4">
        <v>920</v>
      </c>
      <c r="B4">
        <v>364</v>
      </c>
      <c r="C4">
        <f t="shared" si="0"/>
        <v>-8.3822296730930428E-4</v>
      </c>
      <c r="D4">
        <v>920</v>
      </c>
      <c r="E4">
        <v>101</v>
      </c>
      <c r="F4">
        <f t="shared" si="1"/>
        <v>-8.3822296730930428E-4</v>
      </c>
    </row>
    <row r="5" spans="1:6" x14ac:dyDescent="0.3">
      <c r="A5">
        <v>930</v>
      </c>
      <c r="B5">
        <v>417</v>
      </c>
      <c r="C5">
        <f t="shared" si="0"/>
        <v>-8.3125519534497092E-4</v>
      </c>
      <c r="D5">
        <v>930</v>
      </c>
      <c r="E5">
        <v>118</v>
      </c>
      <c r="F5">
        <f t="shared" si="1"/>
        <v>-8.3125519534497092E-4</v>
      </c>
    </row>
    <row r="6" spans="1:6" x14ac:dyDescent="0.3">
      <c r="A6">
        <v>940</v>
      </c>
      <c r="B6">
        <v>471</v>
      </c>
      <c r="C6">
        <f t="shared" si="0"/>
        <v>-8.2440230832646333E-4</v>
      </c>
      <c r="D6">
        <v>940</v>
      </c>
      <c r="E6">
        <v>135</v>
      </c>
      <c r="F6">
        <f t="shared" si="1"/>
        <v>-8.2440230832646333E-4</v>
      </c>
    </row>
    <row r="7" spans="1:6" x14ac:dyDescent="0.3">
      <c r="A7">
        <v>950</v>
      </c>
      <c r="B7">
        <v>537</v>
      </c>
      <c r="C7">
        <f t="shared" si="0"/>
        <v>-8.1766148814390845E-4</v>
      </c>
      <c r="D7">
        <v>950</v>
      </c>
      <c r="E7">
        <v>158</v>
      </c>
      <c r="F7">
        <f t="shared" si="1"/>
        <v>-8.1766148814390845E-4</v>
      </c>
    </row>
    <row r="8" spans="1:6" x14ac:dyDescent="0.3">
      <c r="A8">
        <v>960</v>
      </c>
      <c r="B8">
        <v>614</v>
      </c>
      <c r="C8">
        <f t="shared" si="0"/>
        <v>-8.110300081103001E-4</v>
      </c>
      <c r="D8">
        <v>960</v>
      </c>
      <c r="E8">
        <v>186</v>
      </c>
      <c r="F8">
        <f t="shared" si="1"/>
        <v>-8.110300081103001E-4</v>
      </c>
    </row>
    <row r="9" spans="1:6" x14ac:dyDescent="0.3">
      <c r="A9">
        <v>970</v>
      </c>
      <c r="B9">
        <v>705</v>
      </c>
      <c r="C9">
        <f t="shared" si="0"/>
        <v>-8.045052292839903E-4</v>
      </c>
      <c r="D9">
        <v>970</v>
      </c>
      <c r="E9">
        <v>218</v>
      </c>
      <c r="F9">
        <f t="shared" si="1"/>
        <v>-8.045052292839903E-4</v>
      </c>
    </row>
    <row r="10" spans="1:6" x14ac:dyDescent="0.3">
      <c r="A10">
        <v>980</v>
      </c>
      <c r="B10">
        <v>774</v>
      </c>
      <c r="C10">
        <f t="shared" si="0"/>
        <v>-7.9808459696727857E-4</v>
      </c>
      <c r="D10">
        <v>980</v>
      </c>
      <c r="E10">
        <v>241</v>
      </c>
      <c r="F10">
        <f t="shared" si="1"/>
        <v>-7.9808459696727857E-4</v>
      </c>
    </row>
    <row r="11" spans="1:6" x14ac:dyDescent="0.3">
      <c r="A11">
        <v>990</v>
      </c>
      <c r="B11">
        <v>894</v>
      </c>
      <c r="C11">
        <f t="shared" si="0"/>
        <v>-7.9176563737133805E-4</v>
      </c>
      <c r="D11">
        <v>990</v>
      </c>
      <c r="E11">
        <v>288</v>
      </c>
      <c r="F11">
        <f t="shared" si="1"/>
        <v>-7.9176563737133805E-4</v>
      </c>
    </row>
    <row r="12" spans="1:6" x14ac:dyDescent="0.3">
      <c r="A12">
        <v>1000</v>
      </c>
      <c r="B12">
        <v>988</v>
      </c>
      <c r="C12">
        <f t="shared" si="0"/>
        <v>-7.855459544383347E-4</v>
      </c>
      <c r="D12">
        <v>1000</v>
      </c>
      <c r="E12">
        <v>318</v>
      </c>
      <c r="F12">
        <f t="shared" si="1"/>
        <v>-7.855459544383347E-4</v>
      </c>
    </row>
    <row r="13" spans="1:6" x14ac:dyDescent="0.3">
      <c r="A13">
        <v>1010</v>
      </c>
      <c r="B13">
        <v>1132</v>
      </c>
      <c r="C13">
        <f t="shared" si="0"/>
        <v>-7.7942322681215901E-4</v>
      </c>
      <c r="D13">
        <v>1010</v>
      </c>
      <c r="E13">
        <v>373</v>
      </c>
      <c r="F13">
        <f t="shared" si="1"/>
        <v>-7.7942322681215901E-4</v>
      </c>
    </row>
    <row r="14" spans="1:6" x14ac:dyDescent="0.3">
      <c r="A14">
        <v>1020</v>
      </c>
      <c r="B14">
        <v>1232</v>
      </c>
      <c r="C14">
        <f t="shared" si="0"/>
        <v>-7.7339520494972935E-4</v>
      </c>
      <c r="D14">
        <v>1020</v>
      </c>
      <c r="E14">
        <v>414</v>
      </c>
      <c r="F14">
        <f t="shared" si="1"/>
        <v>-7.7339520494972935E-4</v>
      </c>
    </row>
    <row r="15" spans="1:6" x14ac:dyDescent="0.3">
      <c r="A15">
        <v>1030</v>
      </c>
      <c r="B15">
        <v>1370</v>
      </c>
      <c r="C15">
        <f t="shared" si="0"/>
        <v>-7.6745970836531081E-4</v>
      </c>
      <c r="D15">
        <v>1030</v>
      </c>
      <c r="E15">
        <v>463</v>
      </c>
      <c r="F15">
        <f t="shared" si="1"/>
        <v>-7.6745970836531081E-4</v>
      </c>
    </row>
    <row r="16" spans="1:6" x14ac:dyDescent="0.3">
      <c r="A16">
        <v>1040</v>
      </c>
      <c r="B16">
        <v>1537</v>
      </c>
      <c r="C16">
        <f t="shared" si="0"/>
        <v>-7.6161462300076163E-4</v>
      </c>
      <c r="D16">
        <v>1040</v>
      </c>
      <c r="E16">
        <v>528</v>
      </c>
      <c r="F16">
        <f t="shared" si="1"/>
        <v>-7.6161462300076163E-4</v>
      </c>
    </row>
    <row r="17" spans="1:9" x14ac:dyDescent="0.3">
      <c r="A17">
        <v>1050</v>
      </c>
      <c r="B17">
        <v>1722</v>
      </c>
      <c r="C17">
        <f t="shared" si="0"/>
        <v>-7.5585789871504159E-4</v>
      </c>
      <c r="D17">
        <v>1050</v>
      </c>
      <c r="E17">
        <v>603</v>
      </c>
      <c r="F17">
        <f t="shared" si="1"/>
        <v>-7.5585789871504159E-4</v>
      </c>
    </row>
    <row r="18" spans="1:9" x14ac:dyDescent="0.3">
      <c r="A18">
        <v>1060</v>
      </c>
      <c r="B18">
        <v>1890</v>
      </c>
      <c r="C18">
        <f t="shared" si="0"/>
        <v>-7.501875468867217E-4</v>
      </c>
      <c r="D18">
        <v>1060</v>
      </c>
      <c r="E18">
        <v>669</v>
      </c>
      <c r="F18">
        <f t="shared" si="1"/>
        <v>-7.501875468867217E-4</v>
      </c>
    </row>
    <row r="19" spans="1:9" x14ac:dyDescent="0.3">
      <c r="A19">
        <v>1070</v>
      </c>
      <c r="B19">
        <v>2070</v>
      </c>
      <c r="C19">
        <f t="shared" si="0"/>
        <v>-7.4460163812360388E-4</v>
      </c>
      <c r="D19">
        <v>1070</v>
      </c>
      <c r="E19">
        <v>744</v>
      </c>
      <c r="F19">
        <f t="shared" si="1"/>
        <v>-7.4460163812360388E-4</v>
      </c>
    </row>
    <row r="20" spans="1:9" x14ac:dyDescent="0.3">
      <c r="A20">
        <v>1080</v>
      </c>
      <c r="B20">
        <v>2325</v>
      </c>
      <c r="C20">
        <f t="shared" si="0"/>
        <v>-7.3909830007390983E-4</v>
      </c>
      <c r="D20">
        <v>1080</v>
      </c>
      <c r="E20">
        <v>849</v>
      </c>
      <c r="F20">
        <f t="shared" si="1"/>
        <v>-7.3909830007390983E-4</v>
      </c>
    </row>
    <row r="21" spans="1:9" x14ac:dyDescent="0.3">
      <c r="A21">
        <v>1090</v>
      </c>
      <c r="B21">
        <v>2481</v>
      </c>
      <c r="C21">
        <f t="shared" si="0"/>
        <v>-7.3367571533382249E-4</v>
      </c>
      <c r="D21">
        <v>1090</v>
      </c>
      <c r="E21">
        <v>918</v>
      </c>
      <c r="F21">
        <f t="shared" si="1"/>
        <v>-7.3367571533382249E-4</v>
      </c>
    </row>
    <row r="22" spans="1:9" x14ac:dyDescent="0.3">
      <c r="A22">
        <v>1100</v>
      </c>
      <c r="B22">
        <v>2797</v>
      </c>
      <c r="C22">
        <f t="shared" si="0"/>
        <v>-7.2833211944646763E-4</v>
      </c>
      <c r="D22">
        <v>1100</v>
      </c>
      <c r="E22">
        <v>1059</v>
      </c>
      <c r="F22">
        <f t="shared" si="1"/>
        <v>-7.2833211944646763E-4</v>
      </c>
    </row>
    <row r="23" spans="1:9" x14ac:dyDescent="0.3">
      <c r="A23">
        <v>1110</v>
      </c>
      <c r="B23">
        <v>3110</v>
      </c>
      <c r="C23">
        <f t="shared" si="0"/>
        <v>-7.2306579898770787E-4</v>
      </c>
      <c r="D23">
        <v>1110</v>
      </c>
      <c r="E23">
        <v>1190</v>
      </c>
      <c r="F23">
        <f t="shared" si="1"/>
        <v>-7.2306579898770787E-4</v>
      </c>
    </row>
    <row r="24" spans="1:9" x14ac:dyDescent="0.3">
      <c r="A24">
        <v>1120</v>
      </c>
      <c r="B24">
        <v>3397</v>
      </c>
      <c r="C24">
        <f t="shared" si="0"/>
        <v>-7.1787508973438624E-4</v>
      </c>
      <c r="D24">
        <v>1120</v>
      </c>
      <c r="E24">
        <v>1322</v>
      </c>
      <c r="F24">
        <f t="shared" si="1"/>
        <v>-7.1787508973438624E-4</v>
      </c>
    </row>
    <row r="25" spans="1:9" x14ac:dyDescent="0.3">
      <c r="A25">
        <v>1130</v>
      </c>
      <c r="B25">
        <v>3712</v>
      </c>
      <c r="C25">
        <f t="shared" si="0"/>
        <v>-7.1275837491090524E-4</v>
      </c>
      <c r="D25">
        <v>1130</v>
      </c>
      <c r="E25">
        <v>1465</v>
      </c>
      <c r="F25">
        <f t="shared" si="1"/>
        <v>-7.1275837491090524E-4</v>
      </c>
    </row>
    <row r="26" spans="1:9" x14ac:dyDescent="0.3">
      <c r="A26">
        <v>1140</v>
      </c>
      <c r="B26">
        <v>4028</v>
      </c>
      <c r="C26">
        <f t="shared" si="0"/>
        <v>-7.0771408351026188E-4</v>
      </c>
      <c r="D26">
        <v>1140</v>
      </c>
      <c r="E26">
        <v>1620</v>
      </c>
      <c r="F26">
        <f t="shared" si="1"/>
        <v>-7.0771408351026188E-4</v>
      </c>
    </row>
    <row r="27" spans="1:9" x14ac:dyDescent="0.3">
      <c r="A27" t="s">
        <v>9</v>
      </c>
      <c r="C27" t="e">
        <f t="shared" si="0"/>
        <v>#VALUE!</v>
      </c>
    </row>
    <row r="28" spans="1:9" x14ac:dyDescent="0.3">
      <c r="A28" s="1" t="s">
        <v>2</v>
      </c>
      <c r="B28" s="1" t="s">
        <v>3</v>
      </c>
      <c r="C28" t="e">
        <f t="shared" si="0"/>
        <v>#VALUE!</v>
      </c>
      <c r="D28" s="1" t="s">
        <v>4</v>
      </c>
      <c r="E28" s="1" t="s">
        <v>5</v>
      </c>
      <c r="F28" t="s">
        <v>0</v>
      </c>
      <c r="G28" s="1" t="s">
        <v>6</v>
      </c>
      <c r="H28" s="1" t="s">
        <v>7</v>
      </c>
      <c r="I28" s="1" t="s">
        <v>8</v>
      </c>
    </row>
    <row r="29" spans="1:9" x14ac:dyDescent="0.3">
      <c r="A29">
        <v>73</v>
      </c>
      <c r="B29">
        <v>271</v>
      </c>
      <c r="C29">
        <f t="shared" si="0"/>
        <v>-2.8901734104046241E-3</v>
      </c>
      <c r="D29" s="1">
        <f>(B29-21)/0.47</f>
        <v>531.91489361702133</v>
      </c>
      <c r="E29" s="1">
        <f>A29/B29</f>
        <v>0.26937269372693728</v>
      </c>
      <c r="F29">
        <v>900</v>
      </c>
      <c r="G29">
        <f>EXP(-14388/F29*(1/0.7-1/0.808))</f>
        <v>4.7235162749445267E-2</v>
      </c>
      <c r="H29">
        <f>POWER(700/808,5)</f>
        <v>0.48801525303975296</v>
      </c>
      <c r="I29">
        <f>E29*H29/G29</f>
        <v>2.7830534635491446</v>
      </c>
    </row>
    <row r="30" spans="1:9" x14ac:dyDescent="0.3">
      <c r="A30">
        <v>87</v>
      </c>
      <c r="B30">
        <v>317</v>
      </c>
      <c r="C30">
        <f t="shared" si="0"/>
        <v>-2.7777777777777779E-3</v>
      </c>
      <c r="D30" s="1">
        <f t="shared" ref="D30:D37" si="2">(B30-21)/0.47</f>
        <v>629.78723404255322</v>
      </c>
      <c r="E30" s="1">
        <f t="shared" ref="E30:E53" si="3">A30/B30</f>
        <v>0.27444794952681389</v>
      </c>
      <c r="F30">
        <v>910</v>
      </c>
      <c r="G30">
        <f t="shared" ref="G30:G38" si="4">EXP(-14388/F30*(1/0.7-1/0.808))</f>
        <v>4.8846553686033432E-2</v>
      </c>
      <c r="H30">
        <f t="shared" ref="H30:H53" si="5">POWER(700/808,5)</f>
        <v>0.48801525303975296</v>
      </c>
      <c r="I30">
        <f t="shared" ref="I30:I38" si="6">E30*H30/G30</f>
        <v>2.7419495425501239</v>
      </c>
    </row>
    <row r="31" spans="1:9" x14ac:dyDescent="0.3">
      <c r="A31">
        <v>101</v>
      </c>
      <c r="B31">
        <v>364</v>
      </c>
      <c r="C31">
        <f t="shared" si="0"/>
        <v>-2.6737967914438501E-3</v>
      </c>
      <c r="D31" s="1">
        <f t="shared" si="2"/>
        <v>729.78723404255322</v>
      </c>
      <c r="E31" s="1">
        <f t="shared" si="3"/>
        <v>0.27747252747252749</v>
      </c>
      <c r="F31">
        <v>920</v>
      </c>
      <c r="G31">
        <f t="shared" si="4"/>
        <v>5.047609314584893E-2</v>
      </c>
      <c r="H31">
        <f t="shared" si="5"/>
        <v>0.48801525303975296</v>
      </c>
      <c r="I31">
        <f t="shared" si="6"/>
        <v>2.6826724745677208</v>
      </c>
    </row>
    <row r="32" spans="1:9" x14ac:dyDescent="0.3">
      <c r="A32">
        <v>118</v>
      </c>
      <c r="B32">
        <v>417</v>
      </c>
      <c r="C32">
        <f t="shared" si="0"/>
        <v>-2.5575447570332483E-3</v>
      </c>
      <c r="D32" s="1">
        <f t="shared" si="2"/>
        <v>842.55319148936178</v>
      </c>
      <c r="E32" s="1">
        <f t="shared" si="3"/>
        <v>0.28297362110311752</v>
      </c>
      <c r="F32">
        <v>930</v>
      </c>
      <c r="G32">
        <f t="shared" si="4"/>
        <v>5.2123197275513324E-2</v>
      </c>
      <c r="H32">
        <f t="shared" si="5"/>
        <v>0.48801525303975296</v>
      </c>
      <c r="I32">
        <f t="shared" si="6"/>
        <v>2.6494046897443142</v>
      </c>
    </row>
    <row r="33" spans="1:9" x14ac:dyDescent="0.3">
      <c r="A33">
        <v>135</v>
      </c>
      <c r="B33">
        <v>471</v>
      </c>
      <c r="C33">
        <f t="shared" si="0"/>
        <v>-2.4509803921568627E-3</v>
      </c>
      <c r="D33" s="1">
        <f t="shared" si="2"/>
        <v>957.44680851063833</v>
      </c>
      <c r="E33" s="1">
        <f t="shared" si="3"/>
        <v>0.28662420382165604</v>
      </c>
      <c r="F33">
        <v>940</v>
      </c>
      <c r="G33">
        <f t="shared" si="4"/>
        <v>5.3787288784453401E-2</v>
      </c>
      <c r="H33">
        <f t="shared" si="5"/>
        <v>0.48801525303975296</v>
      </c>
      <c r="I33">
        <f t="shared" si="6"/>
        <v>2.6005583571219719</v>
      </c>
    </row>
    <row r="34" spans="1:9" x14ac:dyDescent="0.3">
      <c r="A34">
        <v>158</v>
      </c>
      <c r="B34">
        <v>537</v>
      </c>
      <c r="C34">
        <f t="shared" si="0"/>
        <v>-2.3201856148491878E-3</v>
      </c>
      <c r="D34" s="1">
        <f t="shared" si="2"/>
        <v>1097.872340425532</v>
      </c>
      <c r="E34" s="1">
        <f t="shared" si="3"/>
        <v>0.29422718808193671</v>
      </c>
      <c r="F34">
        <v>950</v>
      </c>
      <c r="G34">
        <f t="shared" si="4"/>
        <v>5.5467797385667698E-2</v>
      </c>
      <c r="H34">
        <f t="shared" si="5"/>
        <v>0.48801525303975296</v>
      </c>
      <c r="I34">
        <f t="shared" si="6"/>
        <v>2.5886615732118976</v>
      </c>
    </row>
    <row r="35" spans="1:9" x14ac:dyDescent="0.3">
      <c r="A35">
        <v>186</v>
      </c>
      <c r="B35">
        <v>614</v>
      </c>
      <c r="C35">
        <f t="shared" si="0"/>
        <v>-2.1786492374727671E-3</v>
      </c>
      <c r="D35" s="1">
        <f t="shared" si="2"/>
        <v>1261.7021276595744</v>
      </c>
      <c r="E35" s="1">
        <f t="shared" si="3"/>
        <v>0.30293159609120524</v>
      </c>
      <c r="F35">
        <v>960</v>
      </c>
      <c r="G35">
        <f t="shared" si="4"/>
        <v>5.7164160188738759E-2</v>
      </c>
      <c r="H35">
        <f t="shared" si="5"/>
        <v>0.48801525303975296</v>
      </c>
      <c r="I35">
        <f t="shared" si="6"/>
        <v>2.586152565384999</v>
      </c>
    </row>
    <row r="36" spans="1:9" x14ac:dyDescent="0.3">
      <c r="A36">
        <v>218</v>
      </c>
      <c r="B36">
        <v>705</v>
      </c>
      <c r="C36">
        <f t="shared" si="0"/>
        <v>-2.0366598778004071E-3</v>
      </c>
      <c r="D36" s="1">
        <f t="shared" si="2"/>
        <v>1455.3191489361702</v>
      </c>
      <c r="E36" s="1">
        <f t="shared" si="3"/>
        <v>0.30921985815602837</v>
      </c>
      <c r="F36">
        <v>970</v>
      </c>
      <c r="G36">
        <f t="shared" si="4"/>
        <v>5.8875822048216557E-2</v>
      </c>
      <c r="H36">
        <f t="shared" si="5"/>
        <v>0.48801525303975296</v>
      </c>
      <c r="I36">
        <f t="shared" si="6"/>
        <v>2.5630896023727257</v>
      </c>
    </row>
    <row r="37" spans="1:9" x14ac:dyDescent="0.3">
      <c r="A37">
        <v>241</v>
      </c>
      <c r="B37">
        <v>774</v>
      </c>
      <c r="C37">
        <f t="shared" si="0"/>
        <v>-1.9455252918287938E-3</v>
      </c>
      <c r="D37" s="1">
        <f t="shared" si="2"/>
        <v>1602.1276595744682</v>
      </c>
      <c r="E37" s="1">
        <f t="shared" si="3"/>
        <v>0.31136950904392763</v>
      </c>
      <c r="F37">
        <v>980</v>
      </c>
      <c r="G37">
        <f t="shared" si="4"/>
        <v>6.0602235870350692E-2</v>
      </c>
      <c r="H37">
        <f t="shared" si="5"/>
        <v>0.48801525303975296</v>
      </c>
      <c r="I37">
        <f t="shared" si="6"/>
        <v>2.5073838871228542</v>
      </c>
    </row>
    <row r="38" spans="1:9" x14ac:dyDescent="0.3">
      <c r="A38">
        <v>288</v>
      </c>
      <c r="B38">
        <v>894</v>
      </c>
      <c r="E38" s="1">
        <f t="shared" si="3"/>
        <v>0.32214765100671139</v>
      </c>
      <c r="F38">
        <v>990</v>
      </c>
      <c r="G38">
        <f t="shared" si="4"/>
        <v>6.2342862881003637E-2</v>
      </c>
      <c r="H38">
        <f t="shared" si="5"/>
        <v>0.48801525303975296</v>
      </c>
      <c r="I38">
        <f t="shared" si="6"/>
        <v>2.5217476413022784</v>
      </c>
    </row>
    <row r="39" spans="1:9" x14ac:dyDescent="0.3">
      <c r="A39">
        <v>318</v>
      </c>
      <c r="B39">
        <v>988</v>
      </c>
      <c r="E39" s="1">
        <f t="shared" si="3"/>
        <v>0.32186234817813764</v>
      </c>
      <c r="F39">
        <v>1000</v>
      </c>
      <c r="G39">
        <f t="shared" ref="G39:G53" si="7">EXP(-14388/F39*(1/0.7-1/0.808))</f>
        <v>6.409717285743427E-2</v>
      </c>
      <c r="H39">
        <f t="shared" si="5"/>
        <v>0.48801525303975296</v>
      </c>
      <c r="I39">
        <f t="shared" ref="I39:I53" si="8">E39*H39/G39</f>
        <v>2.4505563707074614</v>
      </c>
    </row>
    <row r="40" spans="1:9" x14ac:dyDescent="0.3">
      <c r="A40">
        <v>373</v>
      </c>
      <c r="B40">
        <v>1132</v>
      </c>
      <c r="E40" s="1">
        <f t="shared" si="3"/>
        <v>0.3295053003533569</v>
      </c>
      <c r="F40">
        <v>1010</v>
      </c>
      <c r="G40">
        <f t="shared" si="7"/>
        <v>6.5864644326500271E-2</v>
      </c>
      <c r="H40">
        <f t="shared" si="5"/>
        <v>0.48801525303975296</v>
      </c>
      <c r="I40">
        <f t="shared" si="8"/>
        <v>2.441425353073452</v>
      </c>
    </row>
    <row r="41" spans="1:9" x14ac:dyDescent="0.3">
      <c r="A41">
        <v>414</v>
      </c>
      <c r="B41">
        <v>1232</v>
      </c>
      <c r="E41" s="1">
        <f t="shared" si="3"/>
        <v>0.33603896103896103</v>
      </c>
      <c r="F41">
        <v>1020</v>
      </c>
      <c r="G41">
        <f t="shared" si="7"/>
        <v>6.7644764731692134E-2</v>
      </c>
      <c r="H41">
        <f t="shared" si="5"/>
        <v>0.48801525303975296</v>
      </c>
      <c r="I41">
        <f t="shared" si="8"/>
        <v>2.4243138290613726</v>
      </c>
    </row>
    <row r="42" spans="1:9" x14ac:dyDescent="0.3">
      <c r="A42">
        <v>463</v>
      </c>
      <c r="B42">
        <v>1370</v>
      </c>
      <c r="E42" s="1">
        <f t="shared" si="3"/>
        <v>0.33795620437956203</v>
      </c>
      <c r="F42">
        <v>1030</v>
      </c>
      <c r="G42">
        <f t="shared" si="7"/>
        <v>6.9437030571279187E-2</v>
      </c>
      <c r="H42">
        <f t="shared" si="5"/>
        <v>0.48801525303975296</v>
      </c>
      <c r="I42">
        <f t="shared" si="8"/>
        <v>2.3752136466628295</v>
      </c>
    </row>
    <row r="43" spans="1:9" x14ac:dyDescent="0.3">
      <c r="A43">
        <v>528</v>
      </c>
      <c r="B43">
        <v>1537</v>
      </c>
      <c r="E43" s="1">
        <f t="shared" si="3"/>
        <v>0.3435263500325309</v>
      </c>
      <c r="F43">
        <v>1040</v>
      </c>
      <c r="G43">
        <f t="shared" si="7"/>
        <v>7.1240947509719627E-2</v>
      </c>
      <c r="H43">
        <f t="shared" si="5"/>
        <v>0.48801525303975296</v>
      </c>
      <c r="I43">
        <f t="shared" si="8"/>
        <v>2.3532266834895177</v>
      </c>
    </row>
    <row r="44" spans="1:9" x14ac:dyDescent="0.3">
      <c r="A44">
        <v>603</v>
      </c>
      <c r="B44">
        <v>1722</v>
      </c>
      <c r="E44" s="1">
        <f t="shared" si="3"/>
        <v>0.35017421602787457</v>
      </c>
      <c r="F44">
        <v>1050</v>
      </c>
      <c r="G44">
        <f t="shared" si="7"/>
        <v>7.3056030464364027E-2</v>
      </c>
      <c r="H44">
        <f t="shared" si="5"/>
        <v>0.48801525303975296</v>
      </c>
      <c r="I44">
        <f t="shared" si="8"/>
        <v>2.3391684102820078</v>
      </c>
    </row>
    <row r="45" spans="1:9" x14ac:dyDescent="0.3">
      <c r="A45">
        <v>669</v>
      </c>
      <c r="B45">
        <v>1890</v>
      </c>
      <c r="E45" s="1">
        <f t="shared" si="3"/>
        <v>0.35396825396825399</v>
      </c>
      <c r="F45">
        <v>1060</v>
      </c>
      <c r="G45">
        <f t="shared" si="7"/>
        <v>7.488180366936259E-2</v>
      </c>
      <c r="H45">
        <f t="shared" si="5"/>
        <v>0.48801525303975296</v>
      </c>
      <c r="I45">
        <f t="shared" si="8"/>
        <v>2.3068609270029277</v>
      </c>
    </row>
    <row r="46" spans="1:9" x14ac:dyDescent="0.3">
      <c r="A46">
        <v>744</v>
      </c>
      <c r="B46">
        <v>2070</v>
      </c>
      <c r="E46" s="1">
        <f t="shared" si="3"/>
        <v>0.35942028985507246</v>
      </c>
      <c r="F46">
        <v>1070</v>
      </c>
      <c r="G46">
        <f t="shared" si="7"/>
        <v>7.6717800718573176E-2</v>
      </c>
      <c r="H46">
        <f t="shared" si="5"/>
        <v>0.48801525303975296</v>
      </c>
      <c r="I46">
        <f t="shared" si="8"/>
        <v>2.2863348800193126</v>
      </c>
    </row>
    <row r="47" spans="1:9" x14ac:dyDescent="0.3">
      <c r="A47">
        <v>849</v>
      </c>
      <c r="B47">
        <v>2325</v>
      </c>
      <c r="E47" s="1">
        <f t="shared" si="3"/>
        <v>0.36516129032258066</v>
      </c>
      <c r="F47">
        <v>1080</v>
      </c>
      <c r="G47">
        <f t="shared" si="7"/>
        <v>7.8563564589158932E-2</v>
      </c>
      <c r="H47">
        <f t="shared" si="5"/>
        <v>0.48801525303975296</v>
      </c>
      <c r="I47">
        <f t="shared" si="8"/>
        <v>2.2682814919231333</v>
      </c>
    </row>
    <row r="48" spans="1:9" x14ac:dyDescent="0.3">
      <c r="A48">
        <v>918</v>
      </c>
      <c r="B48">
        <v>2481</v>
      </c>
      <c r="E48" s="1">
        <f t="shared" si="3"/>
        <v>0.37001209189842804</v>
      </c>
      <c r="F48">
        <v>1090</v>
      </c>
      <c r="G48">
        <f t="shared" si="7"/>
        <v>8.0418647647459179E-2</v>
      </c>
      <c r="H48">
        <f t="shared" si="5"/>
        <v>0.48801525303975296</v>
      </c>
      <c r="I48">
        <f t="shared" si="8"/>
        <v>2.2453939470254798</v>
      </c>
    </row>
    <row r="49" spans="1:9" x14ac:dyDescent="0.3">
      <c r="A49">
        <v>1059</v>
      </c>
      <c r="B49">
        <v>2797</v>
      </c>
      <c r="E49" s="1">
        <f t="shared" si="3"/>
        <v>0.3786199499463711</v>
      </c>
      <c r="F49">
        <v>1100</v>
      </c>
      <c r="G49">
        <f t="shared" si="7"/>
        <v>8.2282611638620134E-2</v>
      </c>
      <c r="H49">
        <f t="shared" si="5"/>
        <v>0.48801525303975296</v>
      </c>
      <c r="I49">
        <f t="shared" si="8"/>
        <v>2.2455815025717079</v>
      </c>
    </row>
    <row r="50" spans="1:9" x14ac:dyDescent="0.3">
      <c r="A50">
        <v>1190</v>
      </c>
      <c r="B50">
        <v>3110</v>
      </c>
      <c r="E50" s="1">
        <f t="shared" si="3"/>
        <v>0.38263665594855306</v>
      </c>
      <c r="F50">
        <v>1110</v>
      </c>
      <c r="G50">
        <f t="shared" si="7"/>
        <v>8.4155027661377044E-2</v>
      </c>
      <c r="H50">
        <f t="shared" si="5"/>
        <v>0.48801525303975296</v>
      </c>
      <c r="I50">
        <f t="shared" si="8"/>
        <v>2.2189110937779288</v>
      </c>
    </row>
    <row r="51" spans="1:9" x14ac:dyDescent="0.3">
      <c r="A51">
        <v>1322</v>
      </c>
      <c r="B51">
        <v>3397</v>
      </c>
      <c r="E51" s="1">
        <f t="shared" si="3"/>
        <v>0.38916691198115982</v>
      </c>
      <c r="F51">
        <v>1120</v>
      </c>
      <c r="G51">
        <f t="shared" si="7"/>
        <v>8.603547612928944E-2</v>
      </c>
      <c r="H51">
        <f t="shared" si="5"/>
        <v>0.48801525303975296</v>
      </c>
      <c r="I51">
        <f t="shared" si="8"/>
        <v>2.2074543847445494</v>
      </c>
    </row>
    <row r="52" spans="1:9" x14ac:dyDescent="0.3">
      <c r="A52">
        <v>1465</v>
      </c>
      <c r="B52">
        <v>3712</v>
      </c>
      <c r="E52" s="1">
        <f t="shared" si="3"/>
        <v>0.39466594827586204</v>
      </c>
      <c r="F52">
        <v>1130</v>
      </c>
      <c r="G52">
        <f t="shared" si="7"/>
        <v>8.7923546719647958E-2</v>
      </c>
      <c r="H52">
        <f t="shared" si="5"/>
        <v>0.48801525303975296</v>
      </c>
      <c r="I52">
        <f t="shared" si="8"/>
        <v>2.1905736267458664</v>
      </c>
    </row>
    <row r="53" spans="1:9" x14ac:dyDescent="0.3">
      <c r="A53">
        <v>1620</v>
      </c>
      <c r="B53">
        <v>4028</v>
      </c>
      <c r="E53" s="1">
        <f t="shared" si="3"/>
        <v>0.40218470705064546</v>
      </c>
      <c r="F53">
        <v>1140</v>
      </c>
      <c r="G53">
        <f t="shared" si="7"/>
        <v>8.9818838311189572E-2</v>
      </c>
      <c r="H53">
        <f t="shared" si="5"/>
        <v>0.48801525303975296</v>
      </c>
      <c r="I53">
        <f t="shared" si="8"/>
        <v>2.1852016266345786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4F7F-0183-4488-BFB7-D6C8729F2768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2022-12-15T08:12:09Z</dcterms:modified>
</cp:coreProperties>
</file>